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inkardgroup-my.sharepoint.com/personal/fred_underwood_pinkardgroup_com/Documents/Desktop/"/>
    </mc:Choice>
  </mc:AlternateContent>
  <xr:revisionPtr revIDLastSave="0" documentId="8_{35700416-BD72-4032-8E47-13A2264741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C44" i="1"/>
  <c r="L17" i="1"/>
  <c r="K35" i="1" l="1"/>
  <c r="K27" i="1"/>
  <c r="D27" i="1"/>
  <c r="K7" i="1"/>
  <c r="D6" i="1"/>
  <c r="K34" i="1"/>
  <c r="E38" i="1"/>
  <c r="D33" i="1"/>
  <c r="D24" i="1"/>
  <c r="D19" i="1"/>
  <c r="D17" i="1"/>
  <c r="D5" i="1"/>
  <c r="D4" i="1"/>
  <c r="H1" i="1"/>
  <c r="K24" i="1" l="1"/>
  <c r="K33" i="1" s="1"/>
  <c r="K26" i="1" s="1"/>
</calcChain>
</file>

<file path=xl/sharedStrings.xml><?xml version="1.0" encoding="utf-8"?>
<sst xmlns="http://schemas.openxmlformats.org/spreadsheetml/2006/main" count="167" uniqueCount="93">
  <si>
    <t>Game/Showcase</t>
  </si>
  <si>
    <t>Game</t>
  </si>
  <si>
    <t># of Seconds</t>
  </si>
  <si>
    <t>Notes</t>
  </si>
  <si>
    <t>Order</t>
  </si>
  <si>
    <t>Order for Tape</t>
  </si>
  <si>
    <t>Clip</t>
  </si>
  <si>
    <t>Team America</t>
  </si>
  <si>
    <t>Georgetown Prep #2 (Daksh)</t>
  </si>
  <si>
    <t>CTO (Army Commit)</t>
  </si>
  <si>
    <t>1:00:10-1:00:20</t>
  </si>
  <si>
    <t>Heights (Daksh)</t>
  </si>
  <si>
    <t>Goal</t>
  </si>
  <si>
    <t>14:18-14:28</t>
  </si>
  <si>
    <t>Gilman (Daksh )</t>
  </si>
  <si>
    <t>Slide</t>
  </si>
  <si>
    <t>x</t>
  </si>
  <si>
    <t>52:10-52:17</t>
  </si>
  <si>
    <t>3d Upstate</t>
  </si>
  <si>
    <t>Taft (Daksh )</t>
  </si>
  <si>
    <t>23:55-24:00</t>
  </si>
  <si>
    <t>Assist</t>
  </si>
  <si>
    <t>Speed up but include commentary</t>
  </si>
  <si>
    <t>Georgetown Prep #1 (Daksh )</t>
  </si>
  <si>
    <t>CTO</t>
  </si>
  <si>
    <t>24:00-24:12</t>
  </si>
  <si>
    <t>Lucy Beckham (Clip)</t>
  </si>
  <si>
    <t>Clear</t>
  </si>
  <si>
    <t xml:space="preserve">Slide </t>
  </si>
  <si>
    <t>Bullis #1 (Daksh)</t>
  </si>
  <si>
    <t>CTO (Penn Commit)</t>
  </si>
  <si>
    <t>43:14-43:20</t>
  </si>
  <si>
    <t>Oceanside Collegiate ( Clip)</t>
  </si>
  <si>
    <t>CTO to Goal</t>
  </si>
  <si>
    <t>Bullis #2 (Daksh)</t>
  </si>
  <si>
    <t>Episcopal #2 (Daksh)</t>
  </si>
  <si>
    <t>GB to Assist</t>
  </si>
  <si>
    <t>Good Counsel (Daksh )</t>
  </si>
  <si>
    <t>GB</t>
  </si>
  <si>
    <t>39:42-39:45</t>
  </si>
  <si>
    <t>Landon (Daksh)</t>
  </si>
  <si>
    <t>CTO to GB</t>
  </si>
  <si>
    <t>37:36-37:45</t>
  </si>
  <si>
    <t>Potomac (Daksh)</t>
  </si>
  <si>
    <t>CTO (Williams Commit)</t>
  </si>
  <si>
    <t>18:08-18:18</t>
  </si>
  <si>
    <t>Oceanside Collegiate (Clip)</t>
  </si>
  <si>
    <t>St. Stephens (Daksh)</t>
  </si>
  <si>
    <t>29:00-29:10</t>
  </si>
  <si>
    <t>Defense</t>
  </si>
  <si>
    <t>CTO (Towson Commit)</t>
  </si>
  <si>
    <t>12:29-12:33</t>
  </si>
  <si>
    <t>Defense (Penn Commit)</t>
  </si>
  <si>
    <t>24:53-25:00</t>
  </si>
  <si>
    <t>CTO (Tampa Commit)</t>
  </si>
  <si>
    <t>7:23-7:29</t>
  </si>
  <si>
    <t>CTO (Navy Commit)</t>
  </si>
  <si>
    <t>52:28-52:33</t>
  </si>
  <si>
    <t>3:06:00-3:14</t>
  </si>
  <si>
    <t>Springside Chestnut Hill (Clip)</t>
  </si>
  <si>
    <t>26:16-26:24</t>
  </si>
  <si>
    <t>Defense (Hopkins Commit)</t>
  </si>
  <si>
    <t>18:36-18:41</t>
  </si>
  <si>
    <t>34:51-34:55</t>
  </si>
  <si>
    <t>1:01:00-1:01:05</t>
  </si>
  <si>
    <t>CTO (Brown Commit)</t>
  </si>
  <si>
    <t>27:35-27:40</t>
  </si>
  <si>
    <t>39:41-39:46</t>
  </si>
  <si>
    <t>GB to Clear</t>
  </si>
  <si>
    <t>22:28-22:44</t>
  </si>
  <si>
    <t>CTO (Hamilton Commit)</t>
  </si>
  <si>
    <t>30:04-30:09</t>
  </si>
  <si>
    <t>Defense (Navy Commit)</t>
  </si>
  <si>
    <t>53:08-53:17</t>
  </si>
  <si>
    <t>28:44-28:50</t>
  </si>
  <si>
    <t>35:07-35:15</t>
  </si>
  <si>
    <t>55:22-55:28</t>
  </si>
  <si>
    <t>Clip in Folder</t>
  </si>
  <si>
    <t>w/commentary dubbed (Clip)</t>
  </si>
  <si>
    <t>Label</t>
  </si>
  <si>
    <t>Speed up during run down the field</t>
  </si>
  <si>
    <t>Episcopal #1 (Clip)</t>
  </si>
  <si>
    <t>Keep the slow motion from mid-season</t>
  </si>
  <si>
    <t>12:55-13:01</t>
  </si>
  <si>
    <t>20:31-20:40</t>
  </si>
  <si>
    <t>18:16-18:23</t>
  </si>
  <si>
    <t>41:10-41:16</t>
  </si>
  <si>
    <t xml:space="preserve">CTO </t>
  </si>
  <si>
    <t>Can we circle him or zoom in</t>
  </si>
  <si>
    <t>35:39-35:44</t>
  </si>
  <si>
    <t>48:29-48:33</t>
  </si>
  <si>
    <t>16:29-16:38</t>
  </si>
  <si>
    <t xml:space="preserve">Fade out music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</si>
</sst>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0" borderId="1" xfId="0" applyNumberFormat="1" applyBorder="1" applyAlignment="1">
      <alignment horizontal="center"/>
    </xf>
    <xf numFmtId="46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6" fontId="0" fillId="2" borderId="0" xfId="0" applyNumberFormat="1" applyFill="1" applyAlignment="1">
      <alignment horizontal="center"/>
    </xf>
    <xf numFmtId="0" fontId="0" fillId="2" borderId="0" xfId="0" applyFill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9"/>
  <sheetViews>
    <sheetView showGridLines="0" tabSelected="1" topLeftCell="A21" workbookViewId="0">
      <selection activeCell="L39" sqref="L39"/>
    </sheetView>
  </sheetViews>
  <sheetFormatPr defaultRowHeight="15" x14ac:dyDescent="0.25"/>
  <cols>
    <col min="2" max="2" width="20.140625" hidden="1" customWidth="1"/>
    <col min="3" max="3" width="35.140625" customWidth="1"/>
    <col min="4" max="4" width="14.5703125" hidden="1" customWidth="1"/>
    <col min="5" max="5" width="25.85546875" customWidth="1"/>
    <col min="6" max="6" width="3.42578125" hidden="1" customWidth="1"/>
    <col min="8" max="8" width="15.140625" hidden="1" customWidth="1"/>
    <col min="9" max="9" width="0" hidden="1"/>
    <col min="10" max="10" width="15" hidden="1" customWidth="1"/>
    <col min="11" max="11" width="23" customWidth="1"/>
    <col min="12" max="12" width="34.7109375" customWidth="1"/>
  </cols>
  <sheetData>
    <row r="1" spans="2:12" x14ac:dyDescent="0.25">
      <c r="B1" s="2" t="s">
        <v>0</v>
      </c>
      <c r="C1" s="2" t="s">
        <v>1</v>
      </c>
      <c r="D1" s="2" t="s">
        <v>2</v>
      </c>
      <c r="E1" s="2" t="s">
        <v>79</v>
      </c>
      <c r="F1" s="2" t="s">
        <v>3</v>
      </c>
      <c r="G1" s="2" t="s">
        <v>4</v>
      </c>
      <c r="H1" s="2" t="str">
        <f>J1</f>
        <v>Order for Tape</v>
      </c>
      <c r="I1" s="2"/>
      <c r="J1" s="2" t="s">
        <v>5</v>
      </c>
      <c r="K1" s="2" t="s">
        <v>6</v>
      </c>
      <c r="L1" s="2" t="s">
        <v>3</v>
      </c>
    </row>
    <row r="2" spans="2:12" x14ac:dyDescent="0.25">
      <c r="B2" t="s">
        <v>7</v>
      </c>
      <c r="C2" s="1" t="s">
        <v>8</v>
      </c>
      <c r="E2" s="3" t="s">
        <v>9</v>
      </c>
      <c r="G2" s="1">
        <v>1</v>
      </c>
      <c r="K2" s="1" t="s">
        <v>10</v>
      </c>
      <c r="L2" s="11" t="s">
        <v>78</v>
      </c>
    </row>
    <row r="3" spans="2:12" ht="13.5" customHeight="1" x14ac:dyDescent="0.25">
      <c r="B3" s="1" t="s">
        <v>7</v>
      </c>
      <c r="C3" s="8" t="s">
        <v>11</v>
      </c>
      <c r="D3" s="9"/>
      <c r="E3" s="9" t="s">
        <v>12</v>
      </c>
      <c r="F3" s="8"/>
      <c r="G3" s="8">
        <v>2</v>
      </c>
      <c r="H3" s="8"/>
      <c r="I3" s="8"/>
      <c r="J3" s="8"/>
      <c r="K3" s="8" t="s">
        <v>13</v>
      </c>
      <c r="L3" s="10"/>
    </row>
    <row r="4" spans="2:12" x14ac:dyDescent="0.25">
      <c r="B4" s="1" t="s">
        <v>7</v>
      </c>
      <c r="C4" s="8" t="s">
        <v>14</v>
      </c>
      <c r="D4" s="9" t="e">
        <f>#REF!-#REF!</f>
        <v>#REF!</v>
      </c>
      <c r="E4" s="9" t="s">
        <v>12</v>
      </c>
      <c r="F4" s="8" t="s">
        <v>15</v>
      </c>
      <c r="G4" s="8">
        <f>G3+1</f>
        <v>3</v>
      </c>
      <c r="H4" s="8">
        <v>13</v>
      </c>
      <c r="I4" s="8" t="s">
        <v>16</v>
      </c>
      <c r="J4" s="8">
        <v>9</v>
      </c>
      <c r="K4" s="8" t="s">
        <v>17</v>
      </c>
      <c r="L4" s="10"/>
    </row>
    <row r="5" spans="2:12" x14ac:dyDescent="0.25">
      <c r="B5" s="1" t="s">
        <v>18</v>
      </c>
      <c r="C5" s="8" t="s">
        <v>19</v>
      </c>
      <c r="D5" s="9" t="e">
        <f>#REF!-#REF!</f>
        <v>#REF!</v>
      </c>
      <c r="E5" s="9" t="s">
        <v>12</v>
      </c>
      <c r="F5" s="8" t="s">
        <v>15</v>
      </c>
      <c r="G5" s="8">
        <f t="shared" ref="G5:G44" si="0">G4+1</f>
        <v>4</v>
      </c>
      <c r="H5" s="8">
        <v>10</v>
      </c>
      <c r="I5" s="8" t="s">
        <v>16</v>
      </c>
      <c r="J5" s="8">
        <v>5</v>
      </c>
      <c r="K5" s="8" t="s">
        <v>20</v>
      </c>
      <c r="L5" s="10"/>
    </row>
    <row r="6" spans="2:12" x14ac:dyDescent="0.25">
      <c r="C6" s="8" t="s">
        <v>26</v>
      </c>
      <c r="D6" s="9" t="e">
        <f>#REF!-#REF!</f>
        <v>#REF!</v>
      </c>
      <c r="E6" s="9" t="s">
        <v>12</v>
      </c>
      <c r="F6" s="8" t="s">
        <v>49</v>
      </c>
      <c r="G6" s="8">
        <f t="shared" si="0"/>
        <v>5</v>
      </c>
      <c r="H6" s="8"/>
      <c r="I6" s="8"/>
      <c r="J6" s="8"/>
      <c r="K6" s="8" t="s">
        <v>77</v>
      </c>
      <c r="L6" s="10" t="s">
        <v>88</v>
      </c>
    </row>
    <row r="7" spans="2:12" x14ac:dyDescent="0.25">
      <c r="C7" s="1" t="s">
        <v>81</v>
      </c>
      <c r="D7" s="3"/>
      <c r="E7" s="3" t="s">
        <v>21</v>
      </c>
      <c r="G7" s="8">
        <f t="shared" si="0"/>
        <v>6</v>
      </c>
      <c r="K7" s="1" t="str">
        <f>K9</f>
        <v>29:00-29:10</v>
      </c>
      <c r="L7" s="11" t="s">
        <v>22</v>
      </c>
    </row>
    <row r="8" spans="2:12" x14ac:dyDescent="0.25">
      <c r="B8" s="1" t="s">
        <v>7</v>
      </c>
      <c r="C8" s="1" t="s">
        <v>23</v>
      </c>
      <c r="D8" s="3"/>
      <c r="E8" s="3" t="s">
        <v>24</v>
      </c>
      <c r="F8" s="1"/>
      <c r="G8" s="8">
        <f t="shared" si="0"/>
        <v>7</v>
      </c>
      <c r="H8" s="1"/>
      <c r="I8" s="1"/>
      <c r="J8" s="1"/>
      <c r="K8" s="1" t="s">
        <v>25</v>
      </c>
      <c r="L8" s="11" t="s">
        <v>82</v>
      </c>
    </row>
    <row r="9" spans="2:12" x14ac:dyDescent="0.25">
      <c r="B9" s="1"/>
      <c r="C9" s="1" t="s">
        <v>47</v>
      </c>
      <c r="D9" s="3"/>
      <c r="E9" s="3" t="s">
        <v>24</v>
      </c>
      <c r="F9" s="1"/>
      <c r="G9" s="8">
        <f t="shared" si="0"/>
        <v>8</v>
      </c>
      <c r="H9" s="1"/>
      <c r="I9" s="1"/>
      <c r="J9" s="1"/>
      <c r="K9" s="1" t="s">
        <v>48</v>
      </c>
      <c r="L9" s="11"/>
    </row>
    <row r="10" spans="2:12" x14ac:dyDescent="0.25">
      <c r="B10" s="1"/>
      <c r="C10" s="1" t="s">
        <v>29</v>
      </c>
      <c r="D10" s="3"/>
      <c r="E10" s="3" t="s">
        <v>68</v>
      </c>
      <c r="F10" s="1"/>
      <c r="G10" s="8">
        <f t="shared" si="0"/>
        <v>9</v>
      </c>
      <c r="H10" s="1"/>
      <c r="I10" s="1"/>
      <c r="J10" s="1"/>
      <c r="K10" s="1" t="s">
        <v>69</v>
      </c>
      <c r="L10" s="11"/>
    </row>
    <row r="11" spans="2:12" x14ac:dyDescent="0.25">
      <c r="B11" s="1"/>
      <c r="C11" s="1" t="s">
        <v>8</v>
      </c>
      <c r="D11" s="3"/>
      <c r="E11" s="3" t="s">
        <v>61</v>
      </c>
      <c r="G11" s="8">
        <f t="shared" si="0"/>
        <v>10</v>
      </c>
      <c r="K11" s="1" t="s">
        <v>62</v>
      </c>
      <c r="L11" s="11"/>
    </row>
    <row r="12" spans="2:12" x14ac:dyDescent="0.25">
      <c r="B12" s="1"/>
      <c r="C12" s="1" t="s">
        <v>34</v>
      </c>
      <c r="D12" s="3"/>
      <c r="E12" s="3" t="s">
        <v>87</v>
      </c>
      <c r="G12" s="8">
        <f t="shared" si="0"/>
        <v>11</v>
      </c>
      <c r="K12" s="1" t="s">
        <v>85</v>
      </c>
      <c r="L12" s="11"/>
    </row>
    <row r="13" spans="2:12" x14ac:dyDescent="0.25">
      <c r="B13" s="1"/>
      <c r="C13" s="1" t="s">
        <v>29</v>
      </c>
      <c r="D13" s="3"/>
      <c r="E13" s="3" t="s">
        <v>30</v>
      </c>
      <c r="F13" s="1"/>
      <c r="G13" s="8">
        <f t="shared" si="0"/>
        <v>12</v>
      </c>
      <c r="H13" s="1"/>
      <c r="I13" s="1"/>
      <c r="J13" s="1"/>
      <c r="K13" s="1" t="s">
        <v>31</v>
      </c>
      <c r="L13" s="11"/>
    </row>
    <row r="14" spans="2:12" x14ac:dyDescent="0.25">
      <c r="B14" s="1"/>
      <c r="C14" s="1" t="s">
        <v>35</v>
      </c>
      <c r="D14" s="5"/>
      <c r="E14" s="3" t="s">
        <v>70</v>
      </c>
      <c r="G14" s="8">
        <f t="shared" si="0"/>
        <v>13</v>
      </c>
      <c r="K14" s="1" t="s">
        <v>83</v>
      </c>
      <c r="L14" s="11"/>
    </row>
    <row r="15" spans="2:12" x14ac:dyDescent="0.25">
      <c r="B15" s="1"/>
      <c r="C15" s="1" t="s">
        <v>23</v>
      </c>
      <c r="D15" s="3"/>
      <c r="E15" s="3" t="s">
        <v>56</v>
      </c>
      <c r="F15" s="1"/>
      <c r="G15" s="8">
        <f t="shared" si="0"/>
        <v>14</v>
      </c>
      <c r="H15" s="1"/>
      <c r="I15" s="1"/>
      <c r="J15" s="1"/>
      <c r="K15" s="1" t="s">
        <v>57</v>
      </c>
      <c r="L15" s="11"/>
    </row>
    <row r="16" spans="2:12" x14ac:dyDescent="0.25">
      <c r="B16" s="1"/>
      <c r="C16" s="1" t="s">
        <v>34</v>
      </c>
      <c r="D16" s="3"/>
      <c r="E16" s="3" t="s">
        <v>30</v>
      </c>
      <c r="G16" s="8">
        <f t="shared" si="0"/>
        <v>15</v>
      </c>
      <c r="K16" s="1" t="s">
        <v>63</v>
      </c>
      <c r="L16" s="11"/>
    </row>
    <row r="17" spans="2:17" x14ac:dyDescent="0.25">
      <c r="B17" s="1" t="s">
        <v>18</v>
      </c>
      <c r="C17" s="1" t="s">
        <v>26</v>
      </c>
      <c r="D17" s="3" t="e">
        <f>#REF!-#REF!</f>
        <v>#REF!</v>
      </c>
      <c r="E17" s="3" t="s">
        <v>24</v>
      </c>
      <c r="F17" s="1" t="s">
        <v>27</v>
      </c>
      <c r="G17" s="8">
        <f t="shared" si="0"/>
        <v>16</v>
      </c>
      <c r="H17" s="1">
        <v>8</v>
      </c>
      <c r="I17" s="1" t="s">
        <v>16</v>
      </c>
      <c r="J17" s="1">
        <v>8</v>
      </c>
      <c r="K17" s="1" t="s">
        <v>77</v>
      </c>
      <c r="L17" s="11" t="str">
        <f>L6</f>
        <v>Can we circle him or zoom in</v>
      </c>
    </row>
    <row r="18" spans="2:17" x14ac:dyDescent="0.25">
      <c r="B18" s="1"/>
      <c r="C18" s="1" t="s">
        <v>35</v>
      </c>
      <c r="D18" s="3"/>
      <c r="E18" s="3" t="s">
        <v>36</v>
      </c>
      <c r="G18" s="8">
        <f t="shared" si="0"/>
        <v>17</v>
      </c>
      <c r="K18" s="1" t="s">
        <v>84</v>
      </c>
      <c r="L18" s="11"/>
    </row>
    <row r="19" spans="2:17" x14ac:dyDescent="0.25">
      <c r="B19" s="1"/>
      <c r="C19" s="1" t="s">
        <v>37</v>
      </c>
      <c r="D19" s="3" t="e">
        <f>#REF!-#REF!</f>
        <v>#REF!</v>
      </c>
      <c r="E19" s="3" t="s">
        <v>38</v>
      </c>
      <c r="F19" s="1" t="s">
        <v>12</v>
      </c>
      <c r="G19" s="8">
        <f t="shared" si="0"/>
        <v>18</v>
      </c>
      <c r="H19" s="1">
        <v>4</v>
      </c>
      <c r="I19" s="1" t="s">
        <v>16</v>
      </c>
      <c r="J19" s="1">
        <v>4</v>
      </c>
      <c r="K19" s="1" t="s">
        <v>39</v>
      </c>
      <c r="L19" s="11"/>
    </row>
    <row r="20" spans="2:17" x14ac:dyDescent="0.25">
      <c r="B20" s="1" t="s">
        <v>7</v>
      </c>
      <c r="C20" s="1" t="s">
        <v>40</v>
      </c>
      <c r="D20" s="3"/>
      <c r="E20" s="3" t="s">
        <v>41</v>
      </c>
      <c r="F20" s="1"/>
      <c r="G20" s="8">
        <f t="shared" si="0"/>
        <v>19</v>
      </c>
      <c r="H20" s="1"/>
      <c r="I20" s="1"/>
      <c r="J20" s="1"/>
      <c r="K20" s="1" t="s">
        <v>42</v>
      </c>
      <c r="L20" s="11"/>
    </row>
    <row r="21" spans="2:17" x14ac:dyDescent="0.25">
      <c r="B21" s="1" t="s">
        <v>7</v>
      </c>
      <c r="C21" s="1" t="s">
        <v>43</v>
      </c>
      <c r="D21" s="3"/>
      <c r="E21" s="3" t="s">
        <v>44</v>
      </c>
      <c r="F21" s="1"/>
      <c r="G21" s="8">
        <f t="shared" si="0"/>
        <v>20</v>
      </c>
      <c r="H21" s="1"/>
      <c r="I21" s="1"/>
      <c r="J21" s="1"/>
      <c r="K21" s="1" t="s">
        <v>45</v>
      </c>
      <c r="L21" s="11"/>
    </row>
    <row r="22" spans="2:17" x14ac:dyDescent="0.25">
      <c r="B22" s="1" t="s">
        <v>7</v>
      </c>
      <c r="C22" s="1" t="s">
        <v>37</v>
      </c>
      <c r="D22" s="3">
        <v>1.388888888888889E-2</v>
      </c>
      <c r="E22" s="3" t="s">
        <v>50</v>
      </c>
      <c r="F22" s="1"/>
      <c r="G22" s="8">
        <f t="shared" si="0"/>
        <v>21</v>
      </c>
      <c r="H22" s="1"/>
      <c r="I22" s="1"/>
      <c r="J22" s="1"/>
      <c r="K22" s="1" t="s">
        <v>51</v>
      </c>
      <c r="L22" s="11"/>
      <c r="Q22" s="7"/>
    </row>
    <row r="23" spans="2:17" x14ac:dyDescent="0.25">
      <c r="B23" s="1"/>
      <c r="C23" s="1" t="s">
        <v>8</v>
      </c>
      <c r="D23" s="3"/>
      <c r="E23" s="3" t="s">
        <v>54</v>
      </c>
      <c r="G23" s="8">
        <f t="shared" si="0"/>
        <v>22</v>
      </c>
      <c r="K23" s="1" t="s">
        <v>55</v>
      </c>
      <c r="L23" s="11"/>
      <c r="Q23" s="7"/>
    </row>
    <row r="24" spans="2:17" x14ac:dyDescent="0.25">
      <c r="B24" s="1"/>
      <c r="C24" s="1" t="s">
        <v>59</v>
      </c>
      <c r="D24" s="3" t="e">
        <f>#REF!-#REF!</f>
        <v>#REF!</v>
      </c>
      <c r="E24" s="3" t="s">
        <v>38</v>
      </c>
      <c r="F24" s="1"/>
      <c r="G24" s="8">
        <f t="shared" si="0"/>
        <v>23</v>
      </c>
      <c r="H24" s="1"/>
      <c r="I24" s="1"/>
      <c r="J24" s="1"/>
      <c r="K24" s="1" t="str">
        <f>K35</f>
        <v>Clip in Folder</v>
      </c>
      <c r="L24" s="11"/>
      <c r="Q24" s="7"/>
    </row>
    <row r="25" spans="2:17" x14ac:dyDescent="0.25">
      <c r="C25" s="1" t="s">
        <v>34</v>
      </c>
      <c r="D25" s="3"/>
      <c r="E25" s="3" t="s">
        <v>24</v>
      </c>
      <c r="G25" s="8">
        <f t="shared" si="0"/>
        <v>24</v>
      </c>
      <c r="K25" s="1" t="s">
        <v>86</v>
      </c>
      <c r="L25" s="11"/>
    </row>
    <row r="26" spans="2:17" x14ac:dyDescent="0.25">
      <c r="C26" s="1" t="s">
        <v>59</v>
      </c>
      <c r="D26" s="3">
        <v>7.6388888888888886E-3</v>
      </c>
      <c r="E26" s="3" t="s">
        <v>72</v>
      </c>
      <c r="F26" s="1"/>
      <c r="G26" s="8">
        <f t="shared" si="0"/>
        <v>25</v>
      </c>
      <c r="H26" s="1"/>
      <c r="I26" s="1"/>
      <c r="J26" s="1"/>
      <c r="K26" s="1" t="str">
        <f>K33</f>
        <v>Clip in Folder</v>
      </c>
      <c r="L26" s="11"/>
    </row>
    <row r="27" spans="2:17" x14ac:dyDescent="0.25">
      <c r="C27" s="1" t="s">
        <v>32</v>
      </c>
      <c r="D27" s="3" t="e">
        <f>#REF!-#REF!</f>
        <v>#REF!</v>
      </c>
      <c r="E27" s="3" t="s">
        <v>33</v>
      </c>
      <c r="F27" s="1" t="s">
        <v>24</v>
      </c>
      <c r="G27" s="8">
        <f t="shared" si="0"/>
        <v>26</v>
      </c>
      <c r="H27" s="1">
        <v>1</v>
      </c>
      <c r="I27" s="1" t="s">
        <v>16</v>
      </c>
      <c r="J27" s="1">
        <v>1</v>
      </c>
      <c r="K27" s="1" t="str">
        <f>K23</f>
        <v>7:23-7:29</v>
      </c>
      <c r="L27" s="11" t="s">
        <v>80</v>
      </c>
    </row>
    <row r="28" spans="2:17" x14ac:dyDescent="0.25">
      <c r="B28" s="1" t="s">
        <v>7</v>
      </c>
      <c r="C28" s="1" t="s">
        <v>14</v>
      </c>
      <c r="D28" s="3">
        <v>1.388888888888889E-2</v>
      </c>
      <c r="E28" s="3" t="s">
        <v>38</v>
      </c>
      <c r="F28" s="1"/>
      <c r="G28" s="8">
        <f t="shared" si="0"/>
        <v>27</v>
      </c>
      <c r="H28" s="1"/>
      <c r="I28" s="1"/>
      <c r="J28" s="1"/>
      <c r="K28" s="6" t="s">
        <v>58</v>
      </c>
      <c r="L28" s="11"/>
    </row>
    <row r="29" spans="2:17" x14ac:dyDescent="0.25">
      <c r="B29" s="1"/>
      <c r="C29" s="1" t="s">
        <v>34</v>
      </c>
      <c r="D29" s="3"/>
      <c r="E29" s="3" t="s">
        <v>24</v>
      </c>
      <c r="G29" s="8">
        <f t="shared" si="0"/>
        <v>28</v>
      </c>
      <c r="K29" s="1" t="s">
        <v>76</v>
      </c>
      <c r="L29" s="11"/>
    </row>
    <row r="30" spans="2:17" x14ac:dyDescent="0.25">
      <c r="B30" s="1" t="s">
        <v>7</v>
      </c>
      <c r="C30" s="1" t="s">
        <v>37</v>
      </c>
      <c r="E30" s="3" t="s">
        <v>38</v>
      </c>
      <c r="G30" s="8">
        <f t="shared" si="0"/>
        <v>29</v>
      </c>
      <c r="K30" s="1" t="s">
        <v>89</v>
      </c>
      <c r="L30" s="11"/>
    </row>
    <row r="31" spans="2:17" x14ac:dyDescent="0.25">
      <c r="B31" s="1" t="s">
        <v>7</v>
      </c>
      <c r="C31" s="1" t="s">
        <v>43</v>
      </c>
      <c r="D31" s="3"/>
      <c r="E31" s="3" t="s">
        <v>21</v>
      </c>
      <c r="F31" s="1"/>
      <c r="G31" s="8">
        <f t="shared" si="0"/>
        <v>30</v>
      </c>
      <c r="H31" s="1"/>
      <c r="I31" s="1"/>
      <c r="J31" s="1"/>
      <c r="K31" s="1" t="s">
        <v>60</v>
      </c>
      <c r="L31" s="11"/>
    </row>
    <row r="32" spans="2:17" x14ac:dyDescent="0.25">
      <c r="B32" s="1"/>
      <c r="C32" s="1" t="s">
        <v>29</v>
      </c>
      <c r="D32" s="3"/>
      <c r="E32" s="3" t="s">
        <v>27</v>
      </c>
      <c r="F32" s="1"/>
      <c r="G32" s="8">
        <f t="shared" si="0"/>
        <v>31</v>
      </c>
      <c r="H32" s="1"/>
      <c r="I32" s="1"/>
      <c r="J32" s="1"/>
      <c r="K32" s="1" t="s">
        <v>66</v>
      </c>
      <c r="L32" s="11"/>
    </row>
    <row r="33" spans="2:12" x14ac:dyDescent="0.25">
      <c r="B33" s="1" t="s">
        <v>7</v>
      </c>
      <c r="C33" s="1" t="s">
        <v>59</v>
      </c>
      <c r="D33" s="3" t="e">
        <f>#REF!-#REF!</f>
        <v>#REF!</v>
      </c>
      <c r="E33" s="3" t="s">
        <v>65</v>
      </c>
      <c r="F33" s="1"/>
      <c r="G33" s="8">
        <f t="shared" si="0"/>
        <v>32</v>
      </c>
      <c r="H33" s="1"/>
      <c r="I33" s="1"/>
      <c r="J33" s="1"/>
      <c r="K33" s="1" t="str">
        <f>K24</f>
        <v>Clip in Folder</v>
      </c>
      <c r="L33" s="11"/>
    </row>
    <row r="34" spans="2:12" x14ac:dyDescent="0.25">
      <c r="B34" s="1"/>
      <c r="C34" s="1" t="s">
        <v>81</v>
      </c>
      <c r="D34" s="3"/>
      <c r="E34" s="3" t="s">
        <v>28</v>
      </c>
      <c r="G34" s="8">
        <f t="shared" si="0"/>
        <v>33</v>
      </c>
      <c r="K34" s="1" t="str">
        <f>K17</f>
        <v>Clip in Folder</v>
      </c>
      <c r="L34" s="11"/>
    </row>
    <row r="35" spans="2:12" x14ac:dyDescent="0.25">
      <c r="B35" s="1"/>
      <c r="C35" s="1" t="s">
        <v>46</v>
      </c>
      <c r="D35" s="3">
        <v>8.3333333333333332E-3</v>
      </c>
      <c r="E35" s="3" t="s">
        <v>24</v>
      </c>
      <c r="F35" s="1"/>
      <c r="G35" s="8">
        <f t="shared" si="0"/>
        <v>34</v>
      </c>
      <c r="H35" s="1"/>
      <c r="I35" s="1"/>
      <c r="J35" s="1"/>
      <c r="K35" s="1" t="str">
        <f>K17</f>
        <v>Clip in Folder</v>
      </c>
      <c r="L35" s="11"/>
    </row>
    <row r="36" spans="2:12" x14ac:dyDescent="0.25">
      <c r="B36" s="1"/>
      <c r="C36" s="1" t="s">
        <v>23</v>
      </c>
      <c r="D36" s="3"/>
      <c r="E36" s="3" t="s">
        <v>38</v>
      </c>
      <c r="F36" s="1"/>
      <c r="G36" s="8">
        <f t="shared" si="0"/>
        <v>35</v>
      </c>
      <c r="H36" s="1"/>
      <c r="I36" s="1"/>
      <c r="J36" s="1"/>
      <c r="K36" s="1" t="s">
        <v>75</v>
      </c>
      <c r="L36" s="11"/>
    </row>
    <row r="37" spans="2:12" x14ac:dyDescent="0.25">
      <c r="B37" s="1" t="s">
        <v>7</v>
      </c>
      <c r="C37" s="1" t="s">
        <v>43</v>
      </c>
      <c r="E37" s="3" t="s">
        <v>24</v>
      </c>
      <c r="G37" s="8">
        <f t="shared" si="0"/>
        <v>36</v>
      </c>
      <c r="K37" s="1" t="s">
        <v>90</v>
      </c>
      <c r="L37" s="11"/>
    </row>
    <row r="38" spans="2:12" x14ac:dyDescent="0.25">
      <c r="B38" t="s">
        <v>7</v>
      </c>
      <c r="C38" s="1" t="s">
        <v>8</v>
      </c>
      <c r="E38" s="3" t="str">
        <f>E11</f>
        <v>Defense (Hopkins Commit)</v>
      </c>
      <c r="G38" s="8">
        <f t="shared" si="0"/>
        <v>37</v>
      </c>
      <c r="K38" s="1" t="s">
        <v>67</v>
      </c>
      <c r="L38" s="11"/>
    </row>
    <row r="39" spans="2:12" x14ac:dyDescent="0.25">
      <c r="C39" s="1" t="s">
        <v>34</v>
      </c>
      <c r="D39" s="3"/>
      <c r="E39" s="3" t="s">
        <v>52</v>
      </c>
      <c r="G39" s="8">
        <f t="shared" si="0"/>
        <v>38</v>
      </c>
      <c r="K39" s="1" t="s">
        <v>53</v>
      </c>
      <c r="L39" s="11"/>
    </row>
    <row r="40" spans="2:12" x14ac:dyDescent="0.25">
      <c r="B40" s="1" t="s">
        <v>7</v>
      </c>
      <c r="C40" s="1" t="s">
        <v>47</v>
      </c>
      <c r="D40" s="4"/>
      <c r="E40" s="3" t="s">
        <v>21</v>
      </c>
      <c r="F40" s="1"/>
      <c r="G40" s="8">
        <f t="shared" si="0"/>
        <v>39</v>
      </c>
      <c r="H40" s="1"/>
      <c r="I40" s="1"/>
      <c r="J40" s="1"/>
      <c r="K40" s="1" t="s">
        <v>64</v>
      </c>
      <c r="L40" s="11"/>
    </row>
    <row r="41" spans="2:12" x14ac:dyDescent="0.25">
      <c r="B41" s="1" t="s">
        <v>7</v>
      </c>
      <c r="C41" s="1" t="s">
        <v>19</v>
      </c>
      <c r="D41" s="4">
        <v>8.3333333333333332E-3</v>
      </c>
      <c r="E41" s="3" t="s">
        <v>38</v>
      </c>
      <c r="F41" s="1"/>
      <c r="G41" s="8">
        <f t="shared" si="0"/>
        <v>40</v>
      </c>
      <c r="H41" s="1"/>
      <c r="I41" s="1"/>
      <c r="J41" s="1"/>
      <c r="K41" s="1" t="s">
        <v>71</v>
      </c>
      <c r="L41" s="11"/>
    </row>
    <row r="42" spans="2:12" x14ac:dyDescent="0.25">
      <c r="B42" s="1"/>
      <c r="C42" s="1" t="s">
        <v>23</v>
      </c>
      <c r="D42" s="3"/>
      <c r="E42" s="3" t="s">
        <v>27</v>
      </c>
      <c r="F42" s="1"/>
      <c r="G42" s="8">
        <f t="shared" si="0"/>
        <v>41</v>
      </c>
      <c r="H42" s="1"/>
      <c r="I42" s="1"/>
      <c r="J42" s="1"/>
      <c r="K42" s="6" t="s">
        <v>73</v>
      </c>
      <c r="L42" s="11"/>
    </row>
    <row r="43" spans="2:12" x14ac:dyDescent="0.25">
      <c r="B43" s="1"/>
      <c r="C43" s="1" t="s">
        <v>40</v>
      </c>
      <c r="D43" s="3"/>
      <c r="E43" s="3" t="s">
        <v>27</v>
      </c>
      <c r="F43" s="1"/>
      <c r="G43" s="8">
        <f t="shared" si="0"/>
        <v>42</v>
      </c>
      <c r="H43" s="1"/>
      <c r="I43" s="1"/>
      <c r="J43" s="1"/>
      <c r="K43" s="1" t="s">
        <v>74</v>
      </c>
      <c r="L43" s="11"/>
    </row>
    <row r="44" spans="2:12" x14ac:dyDescent="0.25">
      <c r="B44" s="1" t="s">
        <v>7</v>
      </c>
      <c r="C44" s="1" t="str">
        <f>C23</f>
        <v>Georgetown Prep #2 (Daksh)</v>
      </c>
      <c r="E44" s="3" t="s">
        <v>38</v>
      </c>
      <c r="G44" s="8">
        <f t="shared" si="0"/>
        <v>43</v>
      </c>
      <c r="K44" s="1" t="s">
        <v>91</v>
      </c>
      <c r="L44" s="11" t="s">
        <v>92</v>
      </c>
    </row>
    <row r="45" spans="2:12" x14ac:dyDescent="0.25">
      <c r="B45" s="1" t="s">
        <v>7</v>
      </c>
    </row>
    <row r="46" spans="2:12" x14ac:dyDescent="0.25">
      <c r="B46" s="1" t="s">
        <v>7</v>
      </c>
    </row>
    <row r="47" spans="2:12" x14ac:dyDescent="0.25">
      <c r="B47" t="s">
        <v>7</v>
      </c>
    </row>
    <row r="48" spans="2:12" x14ac:dyDescent="0.25">
      <c r="K48" s="1"/>
    </row>
    <row r="49" spans="11:11" x14ac:dyDescent="0.25">
      <c r="K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Underwood</dc:creator>
  <cp:lastModifiedBy>Fred Underwood</cp:lastModifiedBy>
  <dcterms:created xsi:type="dcterms:W3CDTF">2024-11-25T19:38:48Z</dcterms:created>
  <dcterms:modified xsi:type="dcterms:W3CDTF">2026-05-26T13:09:48Z</dcterms:modified>
</cp:coreProperties>
</file>